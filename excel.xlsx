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776\OneDrive\Desktop\"/>
    </mc:Choice>
  </mc:AlternateContent>
  <xr:revisionPtr revIDLastSave="0" documentId="13_ncr:1_{B44C0B99-A387-4415-9CF4-0D4069648BCE}" xr6:coauthVersionLast="47" xr6:coauthVersionMax="47" xr10:uidLastSave="{00000000-0000-0000-0000-000000000000}"/>
  <bookViews>
    <workbookView xWindow="-108" yWindow="-108" windowWidth="23256" windowHeight="12456" activeTab="1" xr2:uid="{E4EF289B-2C6A-403D-B7E1-F00BE8844FA4}"/>
  </bookViews>
  <sheets>
    <sheet name="Sheet1" sheetId="1" r:id="rId1"/>
    <sheet name="sales_data" sheetId="2" r:id="rId2"/>
  </sheets>
  <definedNames>
    <definedName name="_xlnm._FilterDatabase" localSheetId="1" hidden="1">sales_data!$A$1:$H$1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1" l="1"/>
  <c r="I3" i="1"/>
  <c r="I4" i="1"/>
  <c r="I5" i="1"/>
  <c r="I6" i="1"/>
  <c r="I2" i="1"/>
  <c r="I7" i="1" s="1"/>
  <c r="H3" i="1"/>
  <c r="H4" i="1"/>
  <c r="H5" i="1"/>
  <c r="H6" i="1"/>
  <c r="H2" i="1"/>
  <c r="G3" i="1"/>
  <c r="G4" i="1"/>
  <c r="G5" i="1"/>
  <c r="G6" i="1"/>
  <c r="G2" i="1"/>
  <c r="F3" i="1"/>
  <c r="J3" i="1" s="1"/>
  <c r="F4" i="1"/>
  <c r="J4" i="1" s="1"/>
  <c r="F5" i="1"/>
  <c r="J5" i="1" s="1"/>
  <c r="F6" i="1"/>
  <c r="J6" i="1" s="1"/>
  <c r="F2" i="1"/>
  <c r="J2" i="1" s="1"/>
  <c r="J7" i="1" s="1"/>
  <c r="H7" i="1" l="1"/>
</calcChain>
</file>

<file path=xl/sharedStrings.xml><?xml version="1.0" encoding="utf-8"?>
<sst xmlns="http://schemas.openxmlformats.org/spreadsheetml/2006/main" count="103" uniqueCount="94">
  <si>
    <t>SR NO.</t>
  </si>
  <si>
    <t xml:space="preserve">NAME OF STUDENT </t>
  </si>
  <si>
    <t>SUB1</t>
  </si>
  <si>
    <t>SUB2</t>
  </si>
  <si>
    <t>SUB3</t>
  </si>
  <si>
    <t>TOTAL</t>
  </si>
  <si>
    <t>Ayush</t>
  </si>
  <si>
    <t>Suman</t>
  </si>
  <si>
    <t>Ashu</t>
  </si>
  <si>
    <t>Prince</t>
  </si>
  <si>
    <t>Harsh</t>
  </si>
  <si>
    <t>Max</t>
  </si>
  <si>
    <t>Min</t>
  </si>
  <si>
    <t>Avg</t>
  </si>
  <si>
    <t>%Age</t>
  </si>
  <si>
    <t>Transaction_ID</t>
  </si>
  <si>
    <t>Date</t>
  </si>
  <si>
    <t>Customer_Name</t>
  </si>
  <si>
    <t>Product</t>
  </si>
  <si>
    <t>Units_Sold</t>
  </si>
  <si>
    <t>Price_per_Unit</t>
  </si>
  <si>
    <t>Total_Sales</t>
  </si>
  <si>
    <t>City</t>
  </si>
  <si>
    <t>T011</t>
  </si>
  <si>
    <t>Suresh Kumar</t>
  </si>
  <si>
    <t>Mouse</t>
  </si>
  <si>
    <t>Patna</t>
  </si>
  <si>
    <t>T012</t>
  </si>
  <si>
    <t>Kavita Joshi</t>
  </si>
  <si>
    <t>Laptop</t>
  </si>
  <si>
    <t>Dehradun</t>
  </si>
  <si>
    <t>T013</t>
  </si>
  <si>
    <t>Mohit Agarwal</t>
  </si>
  <si>
    <t>Printer</t>
  </si>
  <si>
    <t>Agra</t>
  </si>
  <si>
    <t>T014</t>
  </si>
  <si>
    <t>Nitin Saxena</t>
  </si>
  <si>
    <t>Mobile Phone</t>
  </si>
  <si>
    <t>Gwalior</t>
  </si>
  <si>
    <t>T015</t>
  </si>
  <si>
    <t>Radhika Rao</t>
  </si>
  <si>
    <t>Tablet</t>
  </si>
  <si>
    <t>Bengaluru</t>
  </si>
  <si>
    <t>T016</t>
  </si>
  <si>
    <t>Arjun Malhotra</t>
  </si>
  <si>
    <t>Smart Watch</t>
  </si>
  <si>
    <t>Gurugram</t>
  </si>
  <si>
    <t>T017</t>
  </si>
  <si>
    <t>Priya Sen</t>
  </si>
  <si>
    <t>Earbuds</t>
  </si>
  <si>
    <t>Kolkata</t>
  </si>
  <si>
    <t>T018</t>
  </si>
  <si>
    <t>Deepak Yadav</t>
  </si>
  <si>
    <t>Monitor</t>
  </si>
  <si>
    <t>Faridabad</t>
  </si>
  <si>
    <t>T019</t>
  </si>
  <si>
    <t>Sneha Kapoor</t>
  </si>
  <si>
    <t>Amritsar</t>
  </si>
  <si>
    <t>T020</t>
  </si>
  <si>
    <t>Akash Mishra</t>
  </si>
  <si>
    <t>Keyboard</t>
  </si>
  <si>
    <t>Prayagraj</t>
  </si>
  <si>
    <t>T021</t>
  </si>
  <si>
    <t>Pankaj Tiwari</t>
  </si>
  <si>
    <t>Rewa</t>
  </si>
  <si>
    <t>T022</t>
  </si>
  <si>
    <t>Neelam Arora</t>
  </si>
  <si>
    <t>Headphones</t>
  </si>
  <si>
    <t>Panipat</t>
  </si>
  <si>
    <t>T023</t>
  </si>
  <si>
    <t>Varun Khanna</t>
  </si>
  <si>
    <t>Speaker</t>
  </si>
  <si>
    <t>Ludhiana</t>
  </si>
  <si>
    <t>T024</t>
  </si>
  <si>
    <t>Shalini Gupta</t>
  </si>
  <si>
    <t>Meerut</t>
  </si>
  <si>
    <t>T025</t>
  </si>
  <si>
    <t>Rakesh Patel</t>
  </si>
  <si>
    <t>Surat</t>
  </si>
  <si>
    <t>T026</t>
  </si>
  <si>
    <t>Meena Choudhary</t>
  </si>
  <si>
    <t>Ajmer</t>
  </si>
  <si>
    <t>T027</t>
  </si>
  <si>
    <t>Harshit Jain</t>
  </si>
  <si>
    <t>Udaipur</t>
  </si>
  <si>
    <t>T028</t>
  </si>
  <si>
    <t>Komal Sharma</t>
  </si>
  <si>
    <t>Ambala</t>
  </si>
  <si>
    <t>T029</t>
  </si>
  <si>
    <t>Ankit Verma</t>
  </si>
  <si>
    <t>Raipur</t>
  </si>
  <si>
    <t>T030</t>
  </si>
  <si>
    <t>Poojan Shah</t>
  </si>
  <si>
    <t>Vadodara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</si>
</sst>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1" fillId="2" borderId="2" xfId="0" applyFont="1" applyFill="1" applyBorder="1"/>
    <xf numFmtId="2" fontId="0" fillId="0" borderId="0" xfId="0" applyNumberFormat="1"/>
    <xf numFmtId="2" fontId="0" fillId="0" borderId="1" xfId="0" applyNumberFormat="1" applyBorder="1"/>
    <xf numFmtId="0" fontId="0" fillId="0" borderId="2" xfId="0" applyFill="1" applyBorder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1">
    <cellStyle name="Normal" xfId="0" builtinId="0"/>
  </cellStyles>
  <dxfs count="40">
    <dxf>
      <fill>
        <patternFill>
          <bgColor rgb="FF92D050"/>
        </patternFill>
      </fill>
    </dxf>
    <dxf>
      <font>
        <color rgb="FF00B050"/>
      </font>
    </dxf>
    <dxf>
      <fill>
        <patternFill>
          <bgColor rgb="FF92D050"/>
        </patternFill>
      </fill>
    </dxf>
    <dxf>
      <fill>
        <patternFill>
          <bgColor theme="9"/>
        </patternFill>
      </fill>
    </dxf>
    <dxf>
      <font>
        <color rgb="FF00B050"/>
      </font>
    </dxf>
    <dxf>
      <font>
        <color rgb="FF006100"/>
      </font>
      <fill>
        <patternFill>
          <bgColor rgb="FFC6EFCE"/>
        </patternFill>
      </fill>
    </dxf>
    <dxf>
      <font>
        <color theme="9" tint="0.39994506668294322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9" tint="0.39994506668294322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9" tint="0.39994506668294322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9" tint="0.39994506668294322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9" tint="0.39994506668294322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theme="9" tint="0.39994506668294322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47556-805E-4729-95DF-897BFF1160F0}">
  <dimension ref="A1:J7"/>
  <sheetViews>
    <sheetView topLeftCell="C1" zoomScale="136" zoomScaleNormal="100" workbookViewId="0">
      <selection activeCell="G9" sqref="G9"/>
    </sheetView>
  </sheetViews>
  <sheetFormatPr defaultRowHeight="14.4" x14ac:dyDescent="0.3"/>
  <cols>
    <col min="1" max="1" width="6.6640625" bestFit="1" customWidth="1"/>
    <col min="2" max="2" width="17.6640625" bestFit="1" customWidth="1"/>
    <col min="3" max="3" width="7.77734375" customWidth="1"/>
    <col min="4" max="5" width="5.44140625" bestFit="1" customWidth="1"/>
    <col min="6" max="6" width="6.44140625" bestFit="1" customWidth="1"/>
  </cols>
  <sheetData>
    <row r="1" spans="1:10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11</v>
      </c>
      <c r="H1" s="3" t="s">
        <v>12</v>
      </c>
      <c r="I1" s="3" t="s">
        <v>13</v>
      </c>
      <c r="J1" s="3" t="s">
        <v>14</v>
      </c>
    </row>
    <row r="2" spans="1:10" x14ac:dyDescent="0.3">
      <c r="A2" s="1">
        <v>1</v>
      </c>
      <c r="B2" s="1" t="s">
        <v>6</v>
      </c>
      <c r="C2" s="1">
        <v>83</v>
      </c>
      <c r="D2" s="1">
        <v>50</v>
      </c>
      <c r="E2" s="1">
        <v>41</v>
      </c>
      <c r="F2" s="1">
        <f>SUM(C2:E2)</f>
        <v>174</v>
      </c>
      <c r="G2" s="1">
        <f>MAX(C2:E2)</f>
        <v>83</v>
      </c>
      <c r="H2" s="1">
        <f>MIN(C2,D2,E2)</f>
        <v>41</v>
      </c>
      <c r="I2" s="5">
        <f>AVERAGE(C2:E2)</f>
        <v>58</v>
      </c>
      <c r="J2" s="1">
        <f>F2/3</f>
        <v>58</v>
      </c>
    </row>
    <row r="3" spans="1:10" x14ac:dyDescent="0.3">
      <c r="A3" s="1">
        <v>2</v>
      </c>
      <c r="B3" s="1" t="s">
        <v>7</v>
      </c>
      <c r="C3" s="1">
        <v>92</v>
      </c>
      <c r="D3" s="1">
        <v>17</v>
      </c>
      <c r="E3" s="1">
        <v>33</v>
      </c>
      <c r="F3" s="1">
        <f t="shared" ref="F3:F6" si="0">SUM(C3:E3)</f>
        <v>142</v>
      </c>
      <c r="G3" s="1">
        <f t="shared" ref="G3:G6" si="1">MAX(C3:E3)</f>
        <v>92</v>
      </c>
      <c r="H3" s="1">
        <f>MIN(C3,D3,E3)</f>
        <v>17</v>
      </c>
      <c r="I3" s="5">
        <f t="shared" ref="I3:I6" si="2">AVERAGE(C3:E3)</f>
        <v>47.333333333333336</v>
      </c>
      <c r="J3" s="1">
        <f t="shared" ref="J3:J6" si="3">F3/3</f>
        <v>47.333333333333336</v>
      </c>
    </row>
    <row r="4" spans="1:10" x14ac:dyDescent="0.3">
      <c r="A4" s="1">
        <v>3</v>
      </c>
      <c r="B4" s="1" t="s">
        <v>8</v>
      </c>
      <c r="C4" s="1">
        <v>73</v>
      </c>
      <c r="D4" s="1">
        <v>32</v>
      </c>
      <c r="E4" s="1">
        <v>67</v>
      </c>
      <c r="F4" s="1">
        <f t="shared" si="0"/>
        <v>172</v>
      </c>
      <c r="G4" s="1">
        <f t="shared" si="1"/>
        <v>73</v>
      </c>
      <c r="H4" s="1">
        <f>MIN(C4,D4,E4)</f>
        <v>32</v>
      </c>
      <c r="I4" s="5">
        <f t="shared" si="2"/>
        <v>57.333333333333336</v>
      </c>
      <c r="J4" s="1">
        <f t="shared" si="3"/>
        <v>57.333333333333336</v>
      </c>
    </row>
    <row r="5" spans="1:10" x14ac:dyDescent="0.3">
      <c r="A5" s="1">
        <v>4</v>
      </c>
      <c r="B5" s="1" t="s">
        <v>9</v>
      </c>
      <c r="C5" s="1">
        <v>22</v>
      </c>
      <c r="D5" s="1">
        <v>65</v>
      </c>
      <c r="E5" s="1">
        <v>86</v>
      </c>
      <c r="F5" s="1">
        <f t="shared" si="0"/>
        <v>173</v>
      </c>
      <c r="G5" s="1">
        <f t="shared" si="1"/>
        <v>86</v>
      </c>
      <c r="H5" s="1">
        <f>MIN(C5,D5,E5)</f>
        <v>22</v>
      </c>
      <c r="I5" s="5">
        <f t="shared" si="2"/>
        <v>57.666666666666664</v>
      </c>
      <c r="J5" s="1">
        <f t="shared" si="3"/>
        <v>57.666666666666664</v>
      </c>
    </row>
    <row r="6" spans="1:10" x14ac:dyDescent="0.3">
      <c r="A6" s="1">
        <v>5</v>
      </c>
      <c r="B6" s="1" t="s">
        <v>10</v>
      </c>
      <c r="C6" s="1">
        <v>93</v>
      </c>
      <c r="D6" s="1">
        <v>40</v>
      </c>
      <c r="E6" s="1">
        <v>64</v>
      </c>
      <c r="F6" s="1">
        <f t="shared" si="0"/>
        <v>197</v>
      </c>
      <c r="G6" s="1">
        <f t="shared" si="1"/>
        <v>93</v>
      </c>
      <c r="H6" s="1">
        <f>MIN(C6,D6,E6)</f>
        <v>40</v>
      </c>
      <c r="I6" s="5">
        <f t="shared" si="2"/>
        <v>65.666666666666671</v>
      </c>
      <c r="J6" s="1">
        <f t="shared" si="3"/>
        <v>65.666666666666671</v>
      </c>
    </row>
    <row r="7" spans="1:10" x14ac:dyDescent="0.3">
      <c r="G7" s="6">
        <f>SUM(G2:G6)</f>
        <v>427</v>
      </c>
      <c r="H7" s="6">
        <f>SUM(H2:H6)</f>
        <v>152</v>
      </c>
      <c r="I7" s="4">
        <f>SUM(I2:I6)</f>
        <v>286</v>
      </c>
      <c r="J7" s="6">
        <f>SUM(J2:J6)</f>
        <v>286</v>
      </c>
    </row>
  </sheetData>
  <phoneticPr fontId="2" type="noConversion"/>
  <conditionalFormatting sqref="D2:D6">
    <cfRule type="cellIs" dxfId="14" priority="8" operator="greaterThan">
      <formula>20</formula>
    </cfRule>
    <cfRule type="cellIs" dxfId="13" priority="9" operator="greaterThan">
      <formula>30</formula>
    </cfRule>
    <cfRule type="cellIs" dxfId="12" priority="7" operator="greaterThan">
      <formula>30</formula>
    </cfRule>
  </conditionalFormatting>
  <conditionalFormatting sqref="D1:D6">
    <cfRule type="cellIs" dxfId="11" priority="6" operator="lessThan">
      <formula>10</formula>
    </cfRule>
    <cfRule type="cellIs" dxfId="10" priority="5" operator="lessThan">
      <formula>20</formula>
    </cfRule>
  </conditionalFormatting>
  <conditionalFormatting sqref="G1:G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{06D495D8-392B-4FA3-BC8D-9B59734BAF6A}</x14:id>
        </ext>
      </extLst>
    </cfRule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D495D8-392B-4FA3-BC8D-9B59734BAF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6893-B9F7-4C8D-9F38-0774D0515ED3}">
  <dimension ref="A1:H21"/>
  <sheetViews>
    <sheetView tabSelected="1" zoomScale="98" zoomScaleNormal="98" workbookViewId="0">
      <selection activeCell="L9" sqref="L9"/>
    </sheetView>
  </sheetViews>
  <sheetFormatPr defaultRowHeight="14.4" x14ac:dyDescent="0.3"/>
  <cols>
    <col min="1" max="1" width="13.5546875" customWidth="1"/>
    <col min="2" max="2" width="10.33203125" bestFit="1" customWidth="1"/>
    <col min="3" max="3" width="16.109375" customWidth="1"/>
    <col min="4" max="4" width="8.6640625" customWidth="1"/>
    <col min="5" max="6" width="14.21875" customWidth="1"/>
    <col min="7" max="7" width="12.109375" customWidth="1"/>
    <col min="8" max="8" width="11.109375" customWidth="1"/>
  </cols>
  <sheetData>
    <row r="1" spans="1:8" ht="28.8" x14ac:dyDescent="0.3">
      <c r="A1" s="7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7" t="s">
        <v>21</v>
      </c>
      <c r="H1" s="7" t="s">
        <v>22</v>
      </c>
    </row>
    <row r="2" spans="1:8" x14ac:dyDescent="0.3">
      <c r="A2" s="8" t="s">
        <v>31</v>
      </c>
      <c r="B2" s="9">
        <v>45664</v>
      </c>
      <c r="C2" s="8" t="s">
        <v>32</v>
      </c>
      <c r="D2" s="8" t="s">
        <v>33</v>
      </c>
      <c r="E2" s="8">
        <v>1</v>
      </c>
      <c r="F2" s="8">
        <v>12000</v>
      </c>
      <c r="G2" s="8">
        <v>12000</v>
      </c>
      <c r="H2" s="8" t="s">
        <v>34</v>
      </c>
    </row>
    <row r="3" spans="1:8" ht="28.8" x14ac:dyDescent="0.3">
      <c r="A3" s="8" t="s">
        <v>79</v>
      </c>
      <c r="B3" s="9">
        <v>45670</v>
      </c>
      <c r="C3" s="8" t="s">
        <v>80</v>
      </c>
      <c r="D3" s="8" t="s">
        <v>37</v>
      </c>
      <c r="E3" s="8">
        <v>3</v>
      </c>
      <c r="F3" s="8">
        <v>17500</v>
      </c>
      <c r="G3" s="8">
        <v>52500</v>
      </c>
      <c r="H3" s="8" t="s">
        <v>81</v>
      </c>
    </row>
    <row r="4" spans="1:8" x14ac:dyDescent="0.3">
      <c r="A4" s="8" t="s">
        <v>85</v>
      </c>
      <c r="B4" s="9">
        <v>45671</v>
      </c>
      <c r="C4" s="8" t="s">
        <v>86</v>
      </c>
      <c r="D4" s="8" t="s">
        <v>25</v>
      </c>
      <c r="E4" s="8">
        <v>5</v>
      </c>
      <c r="F4" s="8">
        <v>650</v>
      </c>
      <c r="G4" s="8">
        <v>3250</v>
      </c>
      <c r="H4" s="8" t="s">
        <v>87</v>
      </c>
    </row>
    <row r="5" spans="1:8" x14ac:dyDescent="0.3">
      <c r="A5" s="8" t="s">
        <v>55</v>
      </c>
      <c r="B5" s="9">
        <v>45667</v>
      </c>
      <c r="C5" s="8" t="s">
        <v>56</v>
      </c>
      <c r="D5" s="8" t="s">
        <v>29</v>
      </c>
      <c r="E5" s="8">
        <v>1</v>
      </c>
      <c r="F5" s="8">
        <v>62000</v>
      </c>
      <c r="G5" s="8">
        <v>62000</v>
      </c>
      <c r="H5" s="8" t="s">
        <v>57</v>
      </c>
    </row>
    <row r="6" spans="1:8" x14ac:dyDescent="0.3">
      <c r="A6" s="8" t="s">
        <v>39</v>
      </c>
      <c r="B6" s="9">
        <v>45665</v>
      </c>
      <c r="C6" s="8" t="s">
        <v>40</v>
      </c>
      <c r="D6" s="8" t="s">
        <v>41</v>
      </c>
      <c r="E6" s="8">
        <v>1</v>
      </c>
      <c r="F6" s="8">
        <v>21000</v>
      </c>
      <c r="G6" s="8">
        <v>21000</v>
      </c>
      <c r="H6" s="8" t="s">
        <v>42</v>
      </c>
    </row>
    <row r="7" spans="1:8" x14ac:dyDescent="0.3">
      <c r="A7" s="8" t="s">
        <v>27</v>
      </c>
      <c r="B7" s="9">
        <v>45663</v>
      </c>
      <c r="C7" s="8" t="s">
        <v>28</v>
      </c>
      <c r="D7" s="8" t="s">
        <v>29</v>
      </c>
      <c r="E7" s="8">
        <v>1</v>
      </c>
      <c r="F7" s="8">
        <v>58000</v>
      </c>
      <c r="G7" s="8">
        <v>58000</v>
      </c>
      <c r="H7" s="8" t="s">
        <v>30</v>
      </c>
    </row>
    <row r="8" spans="1:8" x14ac:dyDescent="0.3">
      <c r="A8" s="8" t="s">
        <v>51</v>
      </c>
      <c r="B8" s="9">
        <v>45666</v>
      </c>
      <c r="C8" s="8" t="s">
        <v>52</v>
      </c>
      <c r="D8" s="8" t="s">
        <v>53</v>
      </c>
      <c r="E8" s="8">
        <v>2</v>
      </c>
      <c r="F8" s="8">
        <v>13500</v>
      </c>
      <c r="G8" s="8">
        <v>27000</v>
      </c>
      <c r="H8" s="8" t="s">
        <v>54</v>
      </c>
    </row>
    <row r="9" spans="1:8" ht="28.8" x14ac:dyDescent="0.3">
      <c r="A9" s="8" t="s">
        <v>43</v>
      </c>
      <c r="B9" s="9">
        <v>45665</v>
      </c>
      <c r="C9" s="8" t="s">
        <v>44</v>
      </c>
      <c r="D9" s="8" t="s">
        <v>45</v>
      </c>
      <c r="E9" s="8">
        <v>3</v>
      </c>
      <c r="F9" s="8">
        <v>8500</v>
      </c>
      <c r="G9" s="8">
        <v>25500</v>
      </c>
      <c r="H9" s="8" t="s">
        <v>46</v>
      </c>
    </row>
    <row r="10" spans="1:8" ht="28.8" x14ac:dyDescent="0.3">
      <c r="A10" s="8" t="s">
        <v>35</v>
      </c>
      <c r="B10" s="9">
        <v>45664</v>
      </c>
      <c r="C10" s="8" t="s">
        <v>36</v>
      </c>
      <c r="D10" s="8" t="s">
        <v>37</v>
      </c>
      <c r="E10" s="8">
        <v>2</v>
      </c>
      <c r="F10" s="8">
        <v>19000</v>
      </c>
      <c r="G10" s="8">
        <v>38000</v>
      </c>
      <c r="H10" s="8" t="s">
        <v>38</v>
      </c>
    </row>
    <row r="11" spans="1:8" x14ac:dyDescent="0.3">
      <c r="A11" s="8" t="s">
        <v>47</v>
      </c>
      <c r="B11" s="9">
        <v>45666</v>
      </c>
      <c r="C11" s="8" t="s">
        <v>48</v>
      </c>
      <c r="D11" s="8" t="s">
        <v>49</v>
      </c>
      <c r="E11" s="8">
        <v>5</v>
      </c>
      <c r="F11" s="8">
        <v>1400</v>
      </c>
      <c r="G11" s="8">
        <v>7000</v>
      </c>
      <c r="H11" s="8" t="s">
        <v>50</v>
      </c>
    </row>
    <row r="12" spans="1:8" x14ac:dyDescent="0.3">
      <c r="A12" s="8" t="s">
        <v>69</v>
      </c>
      <c r="B12" s="9">
        <v>45669</v>
      </c>
      <c r="C12" s="8" t="s">
        <v>70</v>
      </c>
      <c r="D12" s="8" t="s">
        <v>71</v>
      </c>
      <c r="E12" s="8">
        <v>1</v>
      </c>
      <c r="F12" s="8">
        <v>9000</v>
      </c>
      <c r="G12" s="8">
        <v>9000</v>
      </c>
      <c r="H12" s="8" t="s">
        <v>72</v>
      </c>
    </row>
    <row r="13" spans="1:8" ht="28.8" x14ac:dyDescent="0.3">
      <c r="A13" s="8" t="s">
        <v>73</v>
      </c>
      <c r="B13" s="9">
        <v>45669</v>
      </c>
      <c r="C13" s="8" t="s">
        <v>74</v>
      </c>
      <c r="D13" s="8" t="s">
        <v>45</v>
      </c>
      <c r="E13" s="8">
        <v>2</v>
      </c>
      <c r="F13" s="8">
        <v>8200</v>
      </c>
      <c r="G13" s="8">
        <v>16400</v>
      </c>
      <c r="H13" s="8" t="s">
        <v>75</v>
      </c>
    </row>
    <row r="14" spans="1:8" ht="28.8" x14ac:dyDescent="0.3">
      <c r="A14" s="8" t="s">
        <v>65</v>
      </c>
      <c r="B14" s="9">
        <v>45668</v>
      </c>
      <c r="C14" s="8" t="s">
        <v>66</v>
      </c>
      <c r="D14" s="8" t="s">
        <v>67</v>
      </c>
      <c r="E14" s="8">
        <v>2</v>
      </c>
      <c r="F14" s="8">
        <v>3000</v>
      </c>
      <c r="G14" s="8">
        <v>6000</v>
      </c>
      <c r="H14" s="8" t="s">
        <v>68</v>
      </c>
    </row>
    <row r="15" spans="1:8" x14ac:dyDescent="0.3">
      <c r="A15" s="8" t="s">
        <v>23</v>
      </c>
      <c r="B15" s="9">
        <v>45663</v>
      </c>
      <c r="C15" s="8" t="s">
        <v>24</v>
      </c>
      <c r="D15" s="8" t="s">
        <v>25</v>
      </c>
      <c r="E15" s="8">
        <v>3</v>
      </c>
      <c r="F15" s="8">
        <v>700</v>
      </c>
      <c r="G15" s="8">
        <v>2100</v>
      </c>
      <c r="H15" s="8" t="s">
        <v>26</v>
      </c>
    </row>
    <row r="16" spans="1:8" x14ac:dyDescent="0.3">
      <c r="A16" s="8" t="s">
        <v>58</v>
      </c>
      <c r="B16" s="9">
        <v>45667</v>
      </c>
      <c r="C16" s="8" t="s">
        <v>59</v>
      </c>
      <c r="D16" s="8" t="s">
        <v>60</v>
      </c>
      <c r="E16" s="8">
        <v>4</v>
      </c>
      <c r="F16" s="8">
        <v>1100</v>
      </c>
      <c r="G16" s="8">
        <v>4400</v>
      </c>
      <c r="H16" s="8" t="s">
        <v>61</v>
      </c>
    </row>
    <row r="17" spans="1:8" x14ac:dyDescent="0.3">
      <c r="A17" s="8" t="s">
        <v>88</v>
      </c>
      <c r="B17" s="9">
        <v>45672</v>
      </c>
      <c r="C17" s="8" t="s">
        <v>89</v>
      </c>
      <c r="D17" s="8" t="s">
        <v>53</v>
      </c>
      <c r="E17" s="8">
        <v>1</v>
      </c>
      <c r="F17" s="8">
        <v>15000</v>
      </c>
      <c r="G17" s="8">
        <v>15000</v>
      </c>
      <c r="H17" s="8" t="s">
        <v>90</v>
      </c>
    </row>
    <row r="18" spans="1:8" ht="28.8" x14ac:dyDescent="0.3">
      <c r="A18" s="8" t="s">
        <v>62</v>
      </c>
      <c r="B18" s="9">
        <v>45668</v>
      </c>
      <c r="C18" s="8" t="s">
        <v>63</v>
      </c>
      <c r="D18" s="8" t="s">
        <v>37</v>
      </c>
      <c r="E18" s="8">
        <v>1</v>
      </c>
      <c r="F18" s="8">
        <v>21000</v>
      </c>
      <c r="G18" s="8">
        <v>21000</v>
      </c>
      <c r="H18" s="8" t="s">
        <v>64</v>
      </c>
    </row>
    <row r="19" spans="1:8" x14ac:dyDescent="0.3">
      <c r="A19" s="8" t="s">
        <v>76</v>
      </c>
      <c r="B19" s="9">
        <v>45670</v>
      </c>
      <c r="C19" s="8" t="s">
        <v>77</v>
      </c>
      <c r="D19" s="8" t="s">
        <v>41</v>
      </c>
      <c r="E19" s="8">
        <v>2</v>
      </c>
      <c r="F19" s="8">
        <v>21500</v>
      </c>
      <c r="G19" s="8">
        <v>43000</v>
      </c>
      <c r="H19" s="8" t="s">
        <v>78</v>
      </c>
    </row>
    <row r="20" spans="1:8" x14ac:dyDescent="0.3">
      <c r="A20" s="8" t="s">
        <v>82</v>
      </c>
      <c r="B20" s="9">
        <v>45671</v>
      </c>
      <c r="C20" s="8" t="s">
        <v>83</v>
      </c>
      <c r="D20" s="8" t="s">
        <v>29</v>
      </c>
      <c r="E20" s="8">
        <v>1</v>
      </c>
      <c r="F20" s="8">
        <v>59000</v>
      </c>
      <c r="G20" s="8">
        <v>59000</v>
      </c>
      <c r="H20" s="8" t="s">
        <v>84</v>
      </c>
    </row>
    <row r="21" spans="1:8" x14ac:dyDescent="0.3">
      <c r="A21" s="8" t="s">
        <v>91</v>
      </c>
      <c r="B21" s="9">
        <v>45672</v>
      </c>
      <c r="C21" s="8" t="s">
        <v>92</v>
      </c>
      <c r="D21" s="8" t="s">
        <v>33</v>
      </c>
      <c r="E21" s="8">
        <v>2</v>
      </c>
      <c r="F21" s="8">
        <v>11500</v>
      </c>
      <c r="G21" s="8">
        <v>23000</v>
      </c>
      <c r="H21" s="8" t="s">
        <v>93</v>
      </c>
    </row>
  </sheetData>
  <autoFilter ref="A1:H1" xr:uid="{DDC66893-B9F7-4C8D-9F38-0774D0515ED3}"/>
  <sortState xmlns:xlrd2="http://schemas.microsoft.com/office/spreadsheetml/2017/richdata2" ref="A2:H21">
    <sortCondition ref="H2:H21"/>
    <sortCondition ref="G2:G21"/>
  </sortState>
  <conditionalFormatting sqref="L1">
    <cfRule type="expression" dxfId="1" priority="2">
      <formula>"Mouse"</formula>
    </cfRule>
  </conditionalFormatting>
  <conditionalFormatting sqref="H3">
    <cfRule type="expression" dxfId="0" priority="1">
      <formula>"Dehradun"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sales_data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Ayush Kumar Singh</dc:creator>
  <cp:lastModifiedBy>Ayush Kumar Singh</cp:lastModifiedBy>
  <dcterms:created xsi:type="dcterms:W3CDTF">2026-01-13T16:35:44Z</dcterms:created>
  <dcterms:modified xsi:type="dcterms:W3CDTF">2026-01-14T19:22:44Z</dcterms:modified>
</cp:coreProperties>
</file>